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ize 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'Revize Teklif'!$26:$26</definedName>
    <definedName name="_xlnm.Print_Area" localSheetId="0">'Revize Teklif'!$A$1:$H$41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@\ \ "/>
    <numFmt numFmtId="166" formatCode="m/d/yy;@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1" applyAlignment="1" pivotButton="0" quotePrefix="0" xfId="0">
      <alignment horizontal="center"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12" fillId="2" borderId="1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0" pivotButton="0" quotePrefix="0" xfId="0"/>
    <xf numFmtId="0" fontId="8" fillId="0" borderId="6" applyAlignment="1" pivotButton="0" quotePrefix="1" xfId="0">
      <alignment wrapText="1"/>
    </xf>
    <xf numFmtId="0" fontId="12" fillId="2" borderId="12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6" fontId="8" fillId="0" borderId="11" applyAlignment="1" pivotButton="0" quotePrefix="0" xfId="0">
      <alignment horizontal="center" vertical="center" wrapText="1"/>
    </xf>
    <xf numFmtId="166" fontId="8" fillId="0" borderId="12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49" fontId="8" fillId="0" borderId="11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3" pivotButton="0" quotePrefix="0" xfId="0"/>
    <xf numFmtId="0" fontId="2" fillId="0" borderId="4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0" fontId="13" fillId="0" borderId="0" pivotButton="0" quotePrefix="0" xfId="0"/>
    <xf numFmtId="0" fontId="3" fillId="0" borderId="0" applyAlignment="1" pivotButton="0" quotePrefix="1" xfId="0">
      <alignment wrapText="1"/>
    </xf>
    <xf numFmtId="0" fontId="3" fillId="0" borderId="0" pivotButton="0" quotePrefix="0" xfId="0"/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2" pivotButton="0" quotePrefix="0" xfId="0"/>
    <xf numFmtId="166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165" fontId="12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1280014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33504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tabSelected="1" topLeftCell="A22" zoomScaleNormal="100" zoomScaleSheetLayoutView="100" workbookViewId="0">
      <selection activeCell="A40" sqref="A40"/>
    </sheetView>
  </sheetViews>
  <sheetFormatPr baseColWidth="8" defaultColWidth="9.109375" defaultRowHeight="13.2"/>
  <cols>
    <col width="18.6640625" customWidth="1" style="81" min="1" max="1"/>
    <col width="19.6640625" customWidth="1" style="81" min="2" max="2"/>
    <col width="18.6640625" customWidth="1" style="81" min="3" max="3"/>
    <col width="17.109375" customWidth="1" style="81" min="4" max="4"/>
    <col width="18.6640625" customWidth="1" style="81" min="5" max="8"/>
    <col width="14.6640625" customWidth="1" style="81" min="9" max="10"/>
    <col width="9.109375" customWidth="1" style="81" min="11" max="16384"/>
  </cols>
  <sheetData>
    <row r="1" ht="11.1" customFormat="1" customHeight="1" s="60">
      <c r="A1" s="82" t="n"/>
      <c r="B1" s="83" t="n"/>
      <c r="C1" s="82" t="inlineStr">
        <is>
          <t>TEKLİF FORMU</t>
        </is>
      </c>
      <c r="D1" s="84" t="n"/>
      <c r="E1" s="84" t="n"/>
      <c r="F1" s="83" t="n"/>
      <c r="G1" s="51" t="inlineStr">
        <is>
          <t>Doküman No.</t>
        </is>
      </c>
      <c r="H1" s="48" t="inlineStr">
        <is>
          <t>ANT-FRM-022</t>
        </is>
      </c>
      <c r="I1" s="7" t="n"/>
      <c r="J1" s="7" t="n"/>
    </row>
    <row r="2" ht="11.1" customFormat="1" customHeight="1" s="60">
      <c r="A2" s="85" t="n"/>
      <c r="B2" s="86" t="n"/>
      <c r="C2" s="85" t="n"/>
      <c r="F2" s="86" t="n"/>
      <c r="G2" s="8" t="inlineStr">
        <is>
          <t>Yayın Tarihi</t>
        </is>
      </c>
      <c r="H2" s="49" t="n">
        <v>45420</v>
      </c>
    </row>
    <row r="3" ht="11.1" customFormat="1" customHeight="1" s="60">
      <c r="A3" s="85" t="n"/>
      <c r="B3" s="86" t="n"/>
      <c r="C3" s="85" t="n"/>
      <c r="F3" s="86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0">
      <c r="A4" s="85" t="n"/>
      <c r="B4" s="86" t="n"/>
      <c r="C4" s="85" t="n"/>
      <c r="F4" s="86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0">
      <c r="A5" s="85" t="n"/>
      <c r="B5" s="86" t="n"/>
      <c r="C5" s="85" t="n"/>
      <c r="F5" s="86" t="n"/>
      <c r="G5" s="10" t="inlineStr">
        <is>
          <t>Sayfa No.</t>
        </is>
      </c>
      <c r="H5" s="50" t="inlineStr">
        <is>
          <t>1/1</t>
        </is>
      </c>
      <c r="L5" s="9" t="n"/>
    </row>
    <row r="6" ht="35.4" customHeight="1">
      <c r="A6" s="75" t="n"/>
      <c r="B6" s="84" t="n"/>
      <c r="C6" s="84" t="n"/>
      <c r="D6" s="76" t="n"/>
      <c r="E6" s="12" t="n"/>
      <c r="F6" s="12" t="n"/>
      <c r="G6" s="12" t="n"/>
      <c r="H6" s="13" t="inlineStr">
        <is>
          <t>Teklif</t>
        </is>
      </c>
      <c r="I6" s="5" t="n"/>
    </row>
    <row r="7" ht="13.8" customHeight="1">
      <c r="A7" s="77" t="inlineStr">
        <is>
          <t>Antsis Elektronik Sanayi ve Ticaret Ltd. Şti.</t>
        </is>
      </c>
      <c r="D7" s="60" t="n"/>
      <c r="E7" s="60" t="n"/>
      <c r="F7" s="60" t="n"/>
      <c r="G7" s="60" t="n"/>
      <c r="H7" s="17" t="n"/>
    </row>
    <row r="8" ht="13.8" customHeight="1">
      <c r="A8" s="59" t="n"/>
      <c r="B8" s="60" t="n"/>
      <c r="C8" s="60" t="n"/>
      <c r="D8" s="60" t="n"/>
      <c r="E8" s="60" t="n"/>
      <c r="F8" s="60" t="n"/>
      <c r="G8" s="19" t="inlineStr">
        <is>
          <t>Tarih :</t>
        </is>
      </c>
      <c r="H8" s="20" t="n"/>
    </row>
    <row r="9" ht="13.8" customHeight="1">
      <c r="A9" s="59" t="inlineStr">
        <is>
          <t xml:space="preserve">Kemal Nehrozoğlu Cad. Gosb Teknopark </t>
        </is>
      </c>
      <c r="B9" s="60" t="n"/>
      <c r="C9" s="60" t="n"/>
      <c r="D9" s="60" t="n"/>
      <c r="E9" s="60" t="n"/>
      <c r="F9" s="21" t="n"/>
      <c r="G9" s="19" t="inlineStr">
        <is>
          <t>Teklif No :</t>
        </is>
      </c>
      <c r="H9" s="22" t="n"/>
    </row>
    <row r="10" ht="13.8" customHeight="1">
      <c r="A10" s="59" t="inlineStr">
        <is>
          <t xml:space="preserve">No: 507 /9 / Hibrid 1. Bina, 1. Kat, A-5 </t>
        </is>
      </c>
      <c r="B10" s="60" t="n"/>
      <c r="C10" s="60" t="n"/>
      <c r="D10" s="60" t="n"/>
      <c r="E10" s="60" t="n"/>
      <c r="F10" s="78" t="inlineStr">
        <is>
          <t xml:space="preserve">                           Teklif Geçerlilik Süresi :</t>
        </is>
      </c>
      <c r="H10" s="22" t="n"/>
      <c r="I10" s="3" t="n"/>
    </row>
    <row r="11" ht="13.8" customHeight="1">
      <c r="A11" s="59" t="inlineStr">
        <is>
          <t xml:space="preserve">Gebze Kocaeli </t>
        </is>
      </c>
      <c r="B11" s="60" t="n"/>
      <c r="C11" s="60" t="n"/>
      <c r="D11" s="60" t="n"/>
      <c r="E11" s="60" t="n"/>
      <c r="G11" s="78" t="inlineStr">
        <is>
          <t>Hazırlayan :</t>
        </is>
      </c>
      <c r="H11" s="22" t="inlineStr">
        <is>
          <t>İsim Soyisim</t>
        </is>
      </c>
    </row>
    <row r="12" ht="13.8" customHeight="1">
      <c r="A12" s="59" t="inlineStr">
        <is>
          <t>Tel/Faks +90 262 678 88 33</t>
        </is>
      </c>
      <c r="D12" s="79" t="n"/>
      <c r="E12" s="60" t="n"/>
      <c r="F12" s="60" t="n"/>
      <c r="H12" s="17" t="n"/>
    </row>
    <row r="13" ht="13.8" customHeight="1">
      <c r="A13" s="59" t="n"/>
      <c r="B13" s="60" t="n"/>
      <c r="C13" s="60" t="n"/>
      <c r="D13" s="60" t="n"/>
      <c r="E13" s="60" t="n"/>
      <c r="F13" s="60" t="n"/>
      <c r="G13" s="60" t="n"/>
      <c r="H13" s="17" t="n"/>
    </row>
    <row r="14" ht="13.8" customHeight="1">
      <c r="A14" s="25" t="inlineStr">
        <is>
          <t>Sayın İSİM SOYİSİM</t>
        </is>
      </c>
      <c r="B14" s="60" t="n"/>
      <c r="C14" s="60" t="n"/>
      <c r="D14" s="60" t="n"/>
      <c r="E14" s="60" t="n"/>
      <c r="F14" s="60" t="n"/>
      <c r="G14" s="60" t="n"/>
      <c r="H14" s="17" t="n"/>
    </row>
    <row r="15" ht="13.8" customHeight="1">
      <c r="A15" s="59" t="n"/>
      <c r="C15" s="60" t="n"/>
      <c r="D15" s="60" t="n"/>
      <c r="E15" s="60" t="n"/>
      <c r="F15" s="60" t="n"/>
      <c r="G15" s="60" t="n"/>
      <c r="H15" s="17" t="n"/>
    </row>
    <row r="16" ht="13.8" customHeight="1">
      <c r="A16" s="59" t="inlineStr">
        <is>
          <t>Firma İsmi</t>
        </is>
      </c>
      <c r="B16" s="60" t="n"/>
      <c r="C16" s="60" t="n"/>
      <c r="D16" s="60" t="n"/>
      <c r="E16" s="60" t="n"/>
      <c r="F16" s="60" t="n"/>
      <c r="G16" s="60" t="n"/>
      <c r="H16" s="17" t="n"/>
    </row>
    <row r="17" ht="13.8" customHeight="1">
      <c r="A17" s="59" t="inlineStr">
        <is>
          <t>Firma Adresi 1</t>
        </is>
      </c>
      <c r="B17" s="60" t="n"/>
      <c r="C17" s="60" t="n"/>
      <c r="D17" s="60" t="n"/>
      <c r="E17" s="60" t="n"/>
      <c r="F17" s="60" t="n"/>
      <c r="G17" s="60" t="n"/>
      <c r="H17" s="17" t="n"/>
    </row>
    <row r="18" ht="13.8" customHeight="1">
      <c r="A18" s="59" t="inlineStr">
        <is>
          <t>Firma Adresi 2</t>
        </is>
      </c>
      <c r="B18" s="60" t="n"/>
      <c r="C18" s="60" t="n"/>
      <c r="D18" s="60" t="n"/>
      <c r="E18" s="60" t="n"/>
      <c r="F18" s="60" t="n"/>
      <c r="G18" s="60" t="n"/>
      <c r="H18" s="17" t="n"/>
    </row>
    <row r="19" ht="13.95" customHeight="1">
      <c r="A19" s="61" t="inlineStr">
        <is>
          <t>Firma Adresi 3</t>
        </is>
      </c>
      <c r="C19" s="60" t="n"/>
      <c r="D19" s="60" t="n"/>
      <c r="E19" s="60" t="n"/>
      <c r="F19" s="60" t="n"/>
      <c r="G19" s="60" t="n"/>
      <c r="H19" s="17" t="n"/>
    </row>
    <row r="20" ht="13.8" customHeight="1">
      <c r="A20" s="59" t="n"/>
      <c r="B20" s="60" t="n"/>
      <c r="C20" s="60" t="n"/>
      <c r="D20" s="60" t="n"/>
      <c r="E20" s="60" t="n"/>
      <c r="F20" s="60" t="n"/>
      <c r="G20" s="60" t="n"/>
      <c r="H20" s="17" t="n"/>
    </row>
    <row r="21" ht="13.8" customHeight="1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63" t="inlineStr">
        <is>
          <t>İstek No</t>
        </is>
      </c>
      <c r="B22" s="63" t="inlineStr">
        <is>
          <t>Teslim Tarihi</t>
        </is>
      </c>
      <c r="C22" s="87" t="n"/>
      <c r="D22" s="88" t="n"/>
      <c r="E22" s="63" t="inlineStr">
        <is>
          <t>Teslimat</t>
        </is>
      </c>
      <c r="F22" s="63" t="inlineStr">
        <is>
          <t>Teslimat Şekli</t>
        </is>
      </c>
      <c r="G22" s="63" t="inlineStr">
        <is>
          <t>Ödeme Şekli</t>
        </is>
      </c>
      <c r="H22" s="88" t="n"/>
    </row>
    <row r="23" ht="45" customFormat="1" customHeight="1" s="4">
      <c r="A23" s="30" t="inlineStr">
        <is>
          <t>Mail-Tarih VEYA
İstek No</t>
        </is>
      </c>
      <c r="B23" s="89" t="inlineStr">
        <is>
          <t>T0+N hafta sonra N adet
T0+N hafta sonra N adet</t>
        </is>
      </c>
      <c r="C23" s="87" t="n"/>
      <c r="D23" s="88" t="n"/>
      <c r="E23" s="31" t="inlineStr">
        <is>
          <t>Yurtiçi Kargo</t>
        </is>
      </c>
      <c r="F23" s="31" t="inlineStr">
        <is>
          <t>Kapı Teslim</t>
        </is>
      </c>
      <c r="G23" s="90" t="inlineStr">
        <is>
          <t>Peşin VEYA 
Fatura sonrası 21 Gün Vade
Ödeme Günü USD Kuru ile</t>
        </is>
      </c>
      <c r="H23" s="88" t="n"/>
    </row>
    <row r="24" ht="13.8" customHeight="1">
      <c r="A24" s="46" t="n"/>
      <c r="B24" s="32" t="n"/>
      <c r="C24" s="32" t="n"/>
      <c r="D24" s="32" t="n"/>
      <c r="E24" s="60" t="n"/>
      <c r="F24" s="60" t="n"/>
      <c r="G24" s="60" t="n"/>
      <c r="H24" s="45" t="n"/>
    </row>
    <row r="25" ht="13.8" customHeight="1">
      <c r="A25" s="47" t="n"/>
      <c r="B25" s="60" t="n"/>
      <c r="C25" s="60" t="n"/>
      <c r="D25" s="60" t="n"/>
      <c r="E25" s="60" t="n"/>
      <c r="F25" s="60" t="n"/>
      <c r="G25" s="60" t="n"/>
      <c r="H25" s="28" t="n"/>
    </row>
    <row r="26" ht="27.6" customFormat="1" customHeight="1" s="4">
      <c r="A26" s="63" t="inlineStr">
        <is>
          <t>Adet</t>
        </is>
      </c>
      <c r="B26" s="63" t="inlineStr">
        <is>
          <t>Antsis Ürün Kodu</t>
        </is>
      </c>
      <c r="C26" s="63" t="inlineStr">
        <is>
          <t>Açıklama</t>
        </is>
      </c>
      <c r="D26" s="88" t="n"/>
      <c r="E26" s="63" t="inlineStr">
        <is>
          <t>Birim Fiyat</t>
        </is>
      </c>
      <c r="F26" s="63" t="inlineStr">
        <is>
          <t>İndirim</t>
        </is>
      </c>
      <c r="G26" s="33" t="inlineStr">
        <is>
          <t>İndirimli Birim Fiyat</t>
        </is>
      </c>
      <c r="H26" s="33" t="inlineStr">
        <is>
          <t>İndirimli 
Toplam Fiyat</t>
        </is>
      </c>
    </row>
    <row r="27" ht="31.2" customFormat="1" customHeight="1" s="4">
      <c r="A27" s="34" t="n"/>
      <c r="B27" s="34" t="n"/>
      <c r="C27" s="34" t="n"/>
      <c r="D27" s="88" t="n"/>
      <c r="E27" s="91" t="n"/>
      <c r="F27" s="52">
        <f>1-(G27/E27)</f>
        <v/>
      </c>
      <c r="G27" s="91" t="n"/>
      <c r="H27" s="91">
        <f>A27*G27</f>
        <v/>
      </c>
    </row>
    <row r="28" ht="18" customFormat="1" customHeight="1" s="4">
      <c r="A28" s="34" t="n"/>
      <c r="B28" s="34" t="n"/>
      <c r="C28" s="34" t="n"/>
      <c r="D28" s="88" t="n"/>
      <c r="E28" s="91" t="n"/>
      <c r="F28" s="52">
        <f>1-(G28/E28)</f>
        <v/>
      </c>
      <c r="G28" s="91" t="n"/>
      <c r="H28" s="91">
        <f>A28*G28</f>
        <v/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92" t="inlineStr">
        <is>
          <t>Ara Toplam</t>
        </is>
      </c>
      <c r="H29" s="93">
        <f>SUM(H27:H28)</f>
        <v/>
      </c>
    </row>
    <row r="30" ht="18" customFormat="1" customHeight="1" s="4">
      <c r="A30" s="36" t="n"/>
      <c r="B30" s="37" t="n"/>
      <c r="C30" s="37" t="n"/>
      <c r="D30" s="37" t="n"/>
      <c r="E30" s="53" t="n"/>
      <c r="F30" s="38" t="n"/>
      <c r="G30" s="92" t="inlineStr">
        <is>
          <t>KDV (%20)</t>
        </is>
      </c>
      <c r="H30" s="91">
        <f>H29*0.2</f>
        <v/>
      </c>
    </row>
    <row r="31" ht="18" customFormat="1" customHeight="1" s="4">
      <c r="A31" s="41" t="n"/>
      <c r="B31" s="38" t="n"/>
      <c r="C31" s="38" t="n"/>
      <c r="D31" s="38" t="n"/>
      <c r="E31" s="38" t="n"/>
      <c r="F31" s="53" t="n"/>
      <c r="G31" s="94" t="inlineStr">
        <is>
          <t>Toplam</t>
        </is>
      </c>
      <c r="H31" s="93">
        <f>H29+H30</f>
        <v/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59" t="inlineStr">
        <is>
          <t xml:space="preserve">Teklif isteğiniz için teşekkürler. Teklif ile alakalı her türlü sorunuz için lütfen bizimle iletişime geçiniz. </t>
        </is>
      </c>
      <c r="B33" s="60" t="n"/>
      <c r="C33" s="60" t="n"/>
      <c r="D33" s="60" t="n"/>
      <c r="E33" s="60" t="n"/>
      <c r="F33" s="60" t="n"/>
      <c r="G33" s="60" t="n"/>
      <c r="H33" s="17" t="n"/>
      <c r="I33" s="81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4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59" t="inlineStr">
        <is>
          <t>Teklif edilen ürünler rafta hazır olarak üretilmektedir.</t>
        </is>
      </c>
    </row>
    <row r="37" ht="14.1" customFormat="1" customHeight="1" s="4">
      <c r="A37" s="59" t="inlineStr">
        <is>
          <t>Teklif isteğinde belirtilen şartnameye veya teknik resme uygunluğu satın alanın sorumluluğundadır.</t>
        </is>
      </c>
    </row>
    <row r="38" ht="14.1" customFormat="1" customHeight="1" s="4">
      <c r="A38" s="59" t="inlineStr">
        <is>
          <t>Sistemde kullanılacak kablonun tarafınızdan tedarik edilceği varsayılmıştır.</t>
        </is>
      </c>
      <c r="B38" s="60" t="n"/>
      <c r="C38" s="60" t="n"/>
      <c r="D38" s="60" t="n"/>
      <c r="E38" s="60" t="n"/>
      <c r="F38" s="60" t="n"/>
      <c r="G38" s="60" t="n"/>
      <c r="H38" s="17" t="n"/>
      <c r="I38" s="81" t="n"/>
    </row>
    <row r="39" ht="14.1" customHeight="1">
      <c r="A39" s="59" t="inlineStr">
        <is>
          <t>Ürünler için sipariş numarası, üretici adı, parça kodu, seri numarası yazılı CoC belgesi ve test raporu verilecektir.</t>
        </is>
      </c>
      <c r="B39" s="60" t="n"/>
      <c r="C39" s="60" t="n"/>
      <c r="D39" s="60" t="n"/>
      <c r="E39" s="60" t="n"/>
      <c r="F39" s="60" t="n"/>
      <c r="G39" s="60" t="n"/>
      <c r="H39" s="17" t="n"/>
      <c r="I39" s="81" t="n"/>
    </row>
    <row r="40" ht="14.1" customHeight="1">
      <c r="A40" s="59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>
      <c r="A41" s="59" t="inlineStr">
        <is>
          <t>Genel hüküm ve şartlar https://antsiselektronik.com.tr/wp-content/uploads/2024/12/General-Commercial-Terms-and-Conditions.pdf adresinden indirilebilir.</t>
        </is>
      </c>
      <c r="B41" s="60" t="n"/>
      <c r="C41" s="60" t="n"/>
      <c r="D41" s="60" t="n"/>
      <c r="E41" s="60" t="n"/>
      <c r="F41" s="60" t="n"/>
      <c r="G41" s="60" t="n"/>
      <c r="H41" s="17" t="n"/>
    </row>
    <row r="42">
      <c r="A42" s="59" t="inlineStr">
        <is>
          <t>Ürünlerin faturası, ürünlerin sevkiyatına mütakip kesilecektir.</t>
        </is>
      </c>
      <c r="B42" s="60" t="n"/>
      <c r="C42" s="60" t="n"/>
      <c r="D42" s="60" t="n"/>
      <c r="E42" s="60" t="n"/>
      <c r="F42" s="60" t="n"/>
      <c r="G42" s="60" t="n"/>
      <c r="H42" s="17" t="n"/>
    </row>
    <row r="43">
      <c r="A43" s="14" t="n"/>
      <c r="B43" s="15" t="n"/>
      <c r="C43" s="15" t="n"/>
      <c r="D43" s="15" t="n"/>
      <c r="E43" s="15" t="n"/>
      <c r="F43" s="15" t="n"/>
      <c r="G43" s="15" t="n"/>
      <c r="H43" s="16" t="n"/>
    </row>
  </sheetData>
  <mergeCells count="15">
    <mergeCell ref="A15:B15"/>
    <mergeCell ref="B23:D23"/>
    <mergeCell ref="F10:G10"/>
    <mergeCell ref="A19:B19"/>
    <mergeCell ref="B22:D22"/>
    <mergeCell ref="C27:D27"/>
    <mergeCell ref="A6:C6"/>
    <mergeCell ref="A1:B5"/>
    <mergeCell ref="C28:D28"/>
    <mergeCell ref="G23:H23"/>
    <mergeCell ref="G22:H22"/>
    <mergeCell ref="A12:C12"/>
    <mergeCell ref="A7:C7"/>
    <mergeCell ref="C26:D26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81" t="inlineStr">
        <is>
          <t>Aselsan A.S.</t>
        </is>
      </c>
      <c r="B1" s="81" t="n"/>
    </row>
    <row r="2">
      <c r="A2" s="81" t="inlineStr">
        <is>
          <t xml:space="preserve">Mehmet Akif Ersoy Mahallesi 296. </t>
        </is>
      </c>
      <c r="B2" s="81" t="n"/>
    </row>
    <row r="3">
      <c r="A3" s="81" t="inlineStr">
        <is>
          <t xml:space="preserve">Cadde No:16, 06200 Macunköy Yenimahalle / </t>
        </is>
      </c>
      <c r="B3" s="81" t="n"/>
    </row>
    <row r="4">
      <c r="A4" s="80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2026-09-16T07:52:21Z</dcterms:modified>
  <cp:lastModifiedBy>ümran kaya</cp:lastModifiedBy>
  <cp:lastPrinted>2024-05-20T08:31:31Z</cp:lastPrinted>
</cp:coreProperties>
</file>