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.DESKTOP-9F6EQVL\Desktop\KLDHDh\"/>
    </mc:Choice>
  </mc:AlternateContent>
  <xr:revisionPtr revIDLastSave="0" documentId="13_ncr:1_{C2AA6E63-D241-4693-825A-9D6596F7E5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  <sheet name="currencyShee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" i="1" l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</calcChain>
</file>

<file path=xl/sharedStrings.xml><?xml version="1.0" encoding="utf-8"?>
<sst xmlns="http://schemas.openxmlformats.org/spreadsheetml/2006/main" count="145" uniqueCount="68">
  <si>
    <t>N</t>
  </si>
  <si>
    <t>Satır No</t>
  </si>
  <si>
    <t>Teklifte Bulun</t>
  </si>
  <si>
    <t>Stok Kodu</t>
  </si>
  <si>
    <t>Stok Tanımı</t>
  </si>
  <si>
    <t>Açıklama</t>
  </si>
  <si>
    <t>Miktar</t>
  </si>
  <si>
    <t>Ölçü Birimi</t>
  </si>
  <si>
    <t>Termin Tarihi</t>
  </si>
  <si>
    <t>Temin Süresi (Takvim Günü)</t>
  </si>
  <si>
    <t>Teklif Miktarı</t>
  </si>
  <si>
    <t>Hedef Fiyat</t>
  </si>
  <si>
    <t>Fiyat</t>
  </si>
  <si>
    <t>Setup Maliyeti</t>
  </si>
  <si>
    <t>Para Birimi</t>
  </si>
  <si>
    <t>Satır Toplamı</t>
  </si>
  <si>
    <t>Satır Toplamı EUR</t>
  </si>
  <si>
    <t>Sıra</t>
  </si>
  <si>
    <t>Tedarikçi Notu</t>
  </si>
  <si>
    <t>Garanti Süresi (Yıl)</t>
  </si>
  <si>
    <t>Menşei</t>
  </si>
  <si>
    <t>1</t>
  </si>
  <si>
    <t>Y</t>
  </si>
  <si>
    <t>00239277</t>
  </si>
  <si>
    <t>VIDEO ENCODER, ANT-DVI-ENC-623F</t>
  </si>
  <si>
    <t/>
  </si>
  <si>
    <t>Ad|Adet</t>
  </si>
  <si>
    <t>0.00 USD</t>
  </si>
  <si>
    <t>USD-0.8775192866</t>
  </si>
  <si>
    <t>2.0</t>
  </si>
  <si>
    <t>Domestic</t>
  </si>
  <si>
    <t>2</t>
  </si>
  <si>
    <t>00328799</t>
  </si>
  <si>
    <t>RF COMPONENT, ANTENNA, ANT-0426</t>
  </si>
  <si>
    <t>Teslim Süreleri : ANT-0426 - 2 adet T0 + 6 Hafta , 8 adet T0 + 24 Hafta T0: Sipariş Onay Tarihi</t>
  </si>
  <si>
    <t>3</t>
  </si>
  <si>
    <t>00194580</t>
  </si>
  <si>
    <t>ANT-DVI-ENC-621A</t>
  </si>
  <si>
    <t>Teslim Süreleri : ANT-DVI-ENC-621A - 7 adet T0+24 Hafta T0: Sipariş Onay Tarihi K ve P Provizyonları fiyata dahil değildir.</t>
  </si>
  <si>
    <t>4</t>
  </si>
  <si>
    <t>5</t>
  </si>
  <si>
    <t>00236425</t>
  </si>
  <si>
    <t>İHA PLATFORMU GÜDÜMLÜ MERMİ ÜSTÜ VERİBAĞI YÖNSÜZ TEST ANTENİ</t>
  </si>
  <si>
    <t>Teslim Süreleri : ANT-0029 - 5 adet T0 + 10 Hafta , 5 adet T0 + 24 Hafta , 10 adet T0 + 35 Hafta T0: Sipariş Onay Tarihi K Provizyonu fiyata dahil değildir.</t>
  </si>
  <si>
    <t>6</t>
  </si>
  <si>
    <t>00236333</t>
  </si>
  <si>
    <t>IC, SPECIAL PURP,FLIGHT TERMINATION SYSTEM,ANT-USS-864C</t>
  </si>
  <si>
    <t>0 EUR</t>
  </si>
  <si>
    <t>EUR-1</t>
  </si>
  <si>
    <t>7</t>
  </si>
  <si>
    <t>EL5079</t>
  </si>
  <si>
    <t>Deneme Başlığı Uçuş Sonlandırma Almaç Anteni</t>
  </si>
  <si>
    <t>Teslim Süreleri : ANT-0080 - 5 adet T0 + 12 Hafta , 5 adet T0 + 20 Hafta T0: Sipariş Onay Tarihi K Provizyonu fiyata dahil değildir.</t>
  </si>
  <si>
    <t>8</t>
  </si>
  <si>
    <t>00261309</t>
  </si>
  <si>
    <t>ATMACA USS VE TELEMETRİ ORTAK ANTENİ, ANT-9102</t>
  </si>
  <si>
    <t>9</t>
  </si>
  <si>
    <t>10</t>
  </si>
  <si>
    <t>00232718</t>
  </si>
  <si>
    <t>RF COMPONENT,RCVR,ANT-USA-830B</t>
  </si>
  <si>
    <t>Teslim Süreleri : ANT-USA-830B - T0 + 26 Hafta T0: Sipariş Onay Tarihi</t>
  </si>
  <si>
    <t>USD-USD</t>
  </si>
  <si>
    <t>USD-EUR</t>
  </si>
  <si>
    <t>EUR-USD</t>
  </si>
  <si>
    <t>EUR-EUR</t>
  </si>
  <si>
    <t>Teslim Süreleri : ANT-9102 - T0 + 48 Hafta T0: Sipariş Onay Tarihi</t>
  </si>
  <si>
    <t>Teslim Süreleri : ANT-USS-864C yerine ANT-USS-863D muadil ürünü önerilmektedir. Lütfen uygunluğunu kontrol ediniz.</t>
  </si>
  <si>
    <t>Teslim Süreleri : ANT-DVI-ENC-623F - 29 adet T0+34 Hafta T0: Sipariş Onay 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</si>
</sst>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6" x14ac:knownFonts="1">
    <font>
      <sz val="11"/>
      <color indexed="8"/>
      <name val="Calibri"/>
      <family val="2"/>
      <scheme val="minor"/>
    </font>
    <font>
      <sz val="11"/>
      <color indexed="9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 applyProtection="1">
      <alignment horizontal="left" wrapText="1"/>
      <protection locked="0"/>
    </xf>
    <xf numFmtId="49" fontId="3" fillId="0" borderId="1" xfId="0" applyNumberFormat="1" applyFont="1" applyBorder="1" applyAlignment="1">
      <alignment horizontal="left" wrapText="1"/>
    </xf>
    <xf numFmtId="49" fontId="3" fillId="0" borderId="1" xfId="0" applyNumberFormat="1" applyFont="1" applyBorder="1" applyAlignment="1" applyProtection="1">
      <alignment horizontal="left" wrapText="1"/>
      <protection locked="0"/>
    </xf>
    <xf numFmtId="164" fontId="3" fillId="0" borderId="1" xfId="0" applyNumberFormat="1" applyFont="1" applyBorder="1" applyAlignment="1">
      <alignment horizontal="left" wrapText="1"/>
    </xf>
    <xf numFmtId="0" fontId="3" fillId="0" borderId="2" xfId="0" applyFont="1" applyBorder="1" applyAlignment="1" applyProtection="1">
      <alignment horizontal="left" wrapText="1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4" fontId="2" fillId="0" borderId="1" xfId="0" applyNumberFormat="1" applyFont="1" applyBorder="1" applyAlignment="1">
      <alignment horizontal="left" wrapText="1"/>
    </xf>
    <xf numFmtId="49" fontId="3" fillId="0" borderId="2" xfId="0" applyNumberFormat="1" applyFont="1" applyBorder="1" applyAlignment="1" applyProtection="1">
      <alignment horizontal="left" wrapText="1"/>
      <protection locked="0"/>
    </xf>
    <xf numFmtId="49" fontId="4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R15" sqref="R15"/>
    </sheetView>
  </sheetViews>
  <sheetFormatPr defaultRowHeight="14.4" x14ac:dyDescent="0.3"/>
  <cols>
    <col min="1" max="1" width="9.33203125" customWidth="1"/>
    <col min="2" max="2" width="15.21875" customWidth="1"/>
    <col min="3" max="3" width="11.21875" customWidth="1"/>
    <col min="4" max="4" width="67.6640625" customWidth="1"/>
    <col min="5" max="5" width="10.21875" customWidth="1"/>
    <col min="6" max="6" width="7.6640625" customWidth="1"/>
    <col min="7" max="7" width="12.21875" customWidth="1"/>
    <col min="8" max="8" width="14.6640625" customWidth="1"/>
    <col min="9" max="9" width="29.44140625" customWidth="1"/>
    <col min="10" max="10" width="14.6640625" customWidth="1"/>
    <col min="11" max="11" width="12.5546875" customWidth="1"/>
    <col min="12" max="12" width="6.44140625" customWidth="1"/>
    <col min="13" max="13" width="15.77734375" customWidth="1"/>
    <col min="14" max="14" width="18.109375" customWidth="1"/>
    <col min="15" max="15" width="14.5546875" customWidth="1"/>
    <col min="16" max="16" width="19.21875" customWidth="1"/>
    <col min="17" max="17" width="5" customWidth="1"/>
    <col min="18" max="18" width="135.21875" customWidth="1"/>
    <col min="19" max="19" width="20" customWidth="1"/>
    <col min="20" max="20" width="9.21875" customWidth="1"/>
  </cols>
  <sheetData>
    <row r="1" spans="1:20" ht="15" customHeight="1" x14ac:dyDescent="0.3">
      <c r="A1" s="1" t="s">
        <v>0</v>
      </c>
    </row>
    <row r="2" spans="1:20" ht="1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3" t="s">
        <v>18</v>
      </c>
      <c r="S2" s="3" t="s">
        <v>19</v>
      </c>
      <c r="T2" s="3" t="s">
        <v>20</v>
      </c>
    </row>
    <row r="3" spans="1:20" ht="15" customHeight="1" x14ac:dyDescent="0.3">
      <c r="A3" s="4" t="s">
        <v>21</v>
      </c>
      <c r="B3" s="5" t="s">
        <v>22</v>
      </c>
      <c r="C3" s="4" t="s">
        <v>23</v>
      </c>
      <c r="D3" s="4" t="s">
        <v>24</v>
      </c>
      <c r="E3" s="4" t="s">
        <v>25</v>
      </c>
      <c r="F3" s="4">
        <v>29</v>
      </c>
      <c r="G3" s="4" t="s">
        <v>26</v>
      </c>
      <c r="H3" s="6">
        <v>46174.5</v>
      </c>
      <c r="I3" s="7">
        <v>250</v>
      </c>
      <c r="J3" s="4">
        <v>29</v>
      </c>
      <c r="K3" s="4" t="s">
        <v>27</v>
      </c>
      <c r="L3" s="7">
        <v>2025</v>
      </c>
      <c r="M3" s="8">
        <v>0</v>
      </c>
      <c r="N3" s="5" t="s">
        <v>28</v>
      </c>
      <c r="O3" s="9">
        <f t="shared" ref="O3:O12" si="0">J3/1*L3</f>
        <v>58725</v>
      </c>
      <c r="P3" s="9">
        <f t="shared" ref="P3:P12" si="1">J3/1*L3*SUBSTITUTE((RIGHT(N3,LEN(N3)-SEARCH("-",N3))),".","")/POWER(10,IFERROR(LEN(RIGHT(N3,LEN(N3)-SEARCH(".",N3))),"0"))</f>
        <v>51532.320105585</v>
      </c>
      <c r="Q3" s="4" t="s">
        <v>25</v>
      </c>
      <c r="R3" s="10" t="s">
        <v>67</v>
      </c>
      <c r="S3" s="10" t="s">
        <v>29</v>
      </c>
      <c r="T3" s="5" t="s">
        <v>30</v>
      </c>
    </row>
    <row r="4" spans="1:20" ht="15" customHeight="1" x14ac:dyDescent="0.3">
      <c r="A4" s="4" t="s">
        <v>31</v>
      </c>
      <c r="B4" s="5" t="s">
        <v>22</v>
      </c>
      <c r="C4" s="4" t="s">
        <v>32</v>
      </c>
      <c r="D4" s="4" t="s">
        <v>33</v>
      </c>
      <c r="E4" s="4" t="s">
        <v>25</v>
      </c>
      <c r="F4" s="4">
        <v>9</v>
      </c>
      <c r="G4" s="4" t="s">
        <v>26</v>
      </c>
      <c r="H4" s="6">
        <v>46204.5</v>
      </c>
      <c r="I4" s="7">
        <v>180</v>
      </c>
      <c r="J4" s="4">
        <v>9</v>
      </c>
      <c r="K4" s="4" t="s">
        <v>27</v>
      </c>
      <c r="L4" s="7">
        <v>1065</v>
      </c>
      <c r="M4" s="8">
        <v>0</v>
      </c>
      <c r="N4" s="5" t="s">
        <v>28</v>
      </c>
      <c r="O4" s="9">
        <f t="shared" si="0"/>
        <v>9585</v>
      </c>
      <c r="P4" s="9">
        <f t="shared" si="1"/>
        <v>8411.0223620609995</v>
      </c>
      <c r="Q4" s="4" t="s">
        <v>25</v>
      </c>
      <c r="R4" s="10" t="s">
        <v>34</v>
      </c>
      <c r="S4" s="10" t="s">
        <v>29</v>
      </c>
      <c r="T4" s="5" t="s">
        <v>30</v>
      </c>
    </row>
    <row r="5" spans="1:20" ht="15" customHeight="1" x14ac:dyDescent="0.3">
      <c r="A5" s="4" t="s">
        <v>35</v>
      </c>
      <c r="B5" s="5" t="s">
        <v>22</v>
      </c>
      <c r="C5" s="4" t="s">
        <v>36</v>
      </c>
      <c r="D5" s="4" t="s">
        <v>37</v>
      </c>
      <c r="E5" s="4" t="s">
        <v>25</v>
      </c>
      <c r="F5" s="4">
        <v>2</v>
      </c>
      <c r="G5" s="4" t="s">
        <v>26</v>
      </c>
      <c r="H5" s="6">
        <v>46152.5</v>
      </c>
      <c r="I5" s="7">
        <v>180</v>
      </c>
      <c r="J5" s="4">
        <v>2</v>
      </c>
      <c r="K5" s="4" t="s">
        <v>27</v>
      </c>
      <c r="L5" s="7">
        <v>3300</v>
      </c>
      <c r="M5" s="8">
        <v>0</v>
      </c>
      <c r="N5" s="5" t="s">
        <v>28</v>
      </c>
      <c r="O5" s="9">
        <f t="shared" si="0"/>
        <v>6600</v>
      </c>
      <c r="P5" s="9">
        <f t="shared" si="1"/>
        <v>5791.6272915600002</v>
      </c>
      <c r="Q5" s="4" t="s">
        <v>25</v>
      </c>
      <c r="R5" s="10" t="s">
        <v>38</v>
      </c>
      <c r="S5" s="10" t="s">
        <v>29</v>
      </c>
      <c r="T5" s="5" t="s">
        <v>30</v>
      </c>
    </row>
    <row r="6" spans="1:20" ht="15" customHeight="1" x14ac:dyDescent="0.3">
      <c r="A6" s="4" t="s">
        <v>39</v>
      </c>
      <c r="B6" s="5" t="s">
        <v>22</v>
      </c>
      <c r="C6" s="4" t="s">
        <v>32</v>
      </c>
      <c r="D6" s="4" t="s">
        <v>33</v>
      </c>
      <c r="E6" s="4" t="s">
        <v>25</v>
      </c>
      <c r="F6" s="4">
        <v>1</v>
      </c>
      <c r="G6" s="4" t="s">
        <v>26</v>
      </c>
      <c r="H6" s="6">
        <v>46183.5</v>
      </c>
      <c r="I6" s="7">
        <v>180</v>
      </c>
      <c r="J6" s="4">
        <v>1</v>
      </c>
      <c r="K6" s="4" t="s">
        <v>27</v>
      </c>
      <c r="L6" s="7">
        <v>1065</v>
      </c>
      <c r="M6" s="8">
        <v>0</v>
      </c>
      <c r="N6" s="5" t="s">
        <v>28</v>
      </c>
      <c r="O6" s="9">
        <f t="shared" si="0"/>
        <v>1065</v>
      </c>
      <c r="P6" s="9">
        <f t="shared" si="1"/>
        <v>934.55804022899997</v>
      </c>
      <c r="Q6" s="4" t="s">
        <v>25</v>
      </c>
      <c r="R6" s="10" t="s">
        <v>34</v>
      </c>
      <c r="S6" s="10" t="s">
        <v>29</v>
      </c>
      <c r="T6" s="5" t="s">
        <v>30</v>
      </c>
    </row>
    <row r="7" spans="1:20" ht="15" customHeight="1" x14ac:dyDescent="0.3">
      <c r="A7" s="4" t="s">
        <v>40</v>
      </c>
      <c r="B7" s="5" t="s">
        <v>22</v>
      </c>
      <c r="C7" s="4" t="s">
        <v>41</v>
      </c>
      <c r="D7" s="4" t="s">
        <v>42</v>
      </c>
      <c r="E7" s="4" t="s">
        <v>25</v>
      </c>
      <c r="F7" s="4">
        <v>20</v>
      </c>
      <c r="G7" s="4" t="s">
        <v>26</v>
      </c>
      <c r="H7" s="6">
        <v>46327.5</v>
      </c>
      <c r="I7" s="7">
        <v>245</v>
      </c>
      <c r="J7" s="4">
        <v>20</v>
      </c>
      <c r="K7" s="4" t="s">
        <v>27</v>
      </c>
      <c r="L7" s="7">
        <v>1600</v>
      </c>
      <c r="M7" s="8">
        <v>0</v>
      </c>
      <c r="N7" s="5" t="s">
        <v>28</v>
      </c>
      <c r="O7" s="9">
        <f t="shared" si="0"/>
        <v>32000</v>
      </c>
      <c r="P7" s="9">
        <f t="shared" si="1"/>
        <v>28080.6171712</v>
      </c>
      <c r="Q7" s="4" t="s">
        <v>25</v>
      </c>
      <c r="R7" s="10" t="s">
        <v>43</v>
      </c>
      <c r="S7" s="10" t="s">
        <v>29</v>
      </c>
      <c r="T7" s="5" t="s">
        <v>30</v>
      </c>
    </row>
    <row r="8" spans="1:20" ht="15" customHeight="1" x14ac:dyDescent="0.3">
      <c r="A8" s="4" t="s">
        <v>44</v>
      </c>
      <c r="B8" s="5" t="s">
        <v>0</v>
      </c>
      <c r="C8" s="4" t="s">
        <v>45</v>
      </c>
      <c r="D8" s="4" t="s">
        <v>46</v>
      </c>
      <c r="E8" s="4" t="s">
        <v>25</v>
      </c>
      <c r="F8" s="4">
        <v>5</v>
      </c>
      <c r="G8" s="4" t="s">
        <v>26</v>
      </c>
      <c r="H8" s="6">
        <v>46152.5</v>
      </c>
      <c r="I8" s="7">
        <v>0</v>
      </c>
      <c r="J8" s="4">
        <v>0</v>
      </c>
      <c r="K8" s="4" t="s">
        <v>47</v>
      </c>
      <c r="L8" s="7">
        <v>0</v>
      </c>
      <c r="M8" s="8">
        <v>0</v>
      </c>
      <c r="N8" s="5" t="s">
        <v>48</v>
      </c>
      <c r="O8" s="9">
        <f t="shared" si="0"/>
        <v>0</v>
      </c>
      <c r="P8" s="9">
        <f t="shared" si="1"/>
        <v>0</v>
      </c>
      <c r="Q8" s="4" t="s">
        <v>25</v>
      </c>
      <c r="R8" s="10" t="s">
        <v>66</v>
      </c>
      <c r="S8" s="10" t="s">
        <v>25</v>
      </c>
      <c r="T8" s="5" t="s">
        <v>25</v>
      </c>
    </row>
    <row r="9" spans="1:20" ht="15" customHeight="1" x14ac:dyDescent="0.3">
      <c r="A9" s="4" t="s">
        <v>49</v>
      </c>
      <c r="B9" s="5" t="s">
        <v>22</v>
      </c>
      <c r="C9" s="4" t="s">
        <v>50</v>
      </c>
      <c r="D9" s="4" t="s">
        <v>51</v>
      </c>
      <c r="E9" s="4" t="s">
        <v>25</v>
      </c>
      <c r="F9" s="4">
        <v>10</v>
      </c>
      <c r="G9" s="4" t="s">
        <v>26</v>
      </c>
      <c r="H9" s="6">
        <v>46183.5</v>
      </c>
      <c r="I9" s="7">
        <v>150</v>
      </c>
      <c r="J9" s="4">
        <v>10</v>
      </c>
      <c r="K9" s="4" t="s">
        <v>27</v>
      </c>
      <c r="L9" s="7">
        <v>1600</v>
      </c>
      <c r="M9" s="8">
        <v>0</v>
      </c>
      <c r="N9" s="5" t="s">
        <v>28</v>
      </c>
      <c r="O9" s="9">
        <f t="shared" si="0"/>
        <v>16000</v>
      </c>
      <c r="P9" s="9">
        <f t="shared" si="1"/>
        <v>14040.3085856</v>
      </c>
      <c r="Q9" s="4" t="s">
        <v>25</v>
      </c>
      <c r="R9" s="10" t="s">
        <v>52</v>
      </c>
      <c r="S9" s="10" t="s">
        <v>29</v>
      </c>
      <c r="T9" s="5" t="s">
        <v>30</v>
      </c>
    </row>
    <row r="10" spans="1:20" ht="15" customHeight="1" x14ac:dyDescent="0.3">
      <c r="A10" s="4" t="s">
        <v>53</v>
      </c>
      <c r="B10" s="5" t="s">
        <v>22</v>
      </c>
      <c r="C10" s="4" t="s">
        <v>54</v>
      </c>
      <c r="D10" s="4" t="s">
        <v>55</v>
      </c>
      <c r="E10" s="4" t="s">
        <v>25</v>
      </c>
      <c r="F10" s="4">
        <v>2</v>
      </c>
      <c r="G10" s="4" t="s">
        <v>26</v>
      </c>
      <c r="H10" s="6">
        <v>46132.5</v>
      </c>
      <c r="I10" s="7">
        <v>340</v>
      </c>
      <c r="J10" s="4">
        <v>2</v>
      </c>
      <c r="K10" s="4" t="s">
        <v>27</v>
      </c>
      <c r="L10" s="7">
        <v>12250</v>
      </c>
      <c r="M10" s="8">
        <v>0</v>
      </c>
      <c r="N10" s="5" t="s">
        <v>28</v>
      </c>
      <c r="O10" s="9">
        <f t="shared" si="0"/>
        <v>24500</v>
      </c>
      <c r="P10" s="9">
        <f t="shared" si="1"/>
        <v>21499.222521700001</v>
      </c>
      <c r="Q10" s="4" t="s">
        <v>25</v>
      </c>
      <c r="R10" s="10" t="s">
        <v>65</v>
      </c>
      <c r="S10" s="10" t="s">
        <v>29</v>
      </c>
      <c r="T10" s="5" t="s">
        <v>30</v>
      </c>
    </row>
    <row r="11" spans="1:20" ht="15" customHeight="1" x14ac:dyDescent="0.3">
      <c r="A11" s="4" t="s">
        <v>56</v>
      </c>
      <c r="B11" s="5" t="s">
        <v>22</v>
      </c>
      <c r="C11" s="4" t="s">
        <v>36</v>
      </c>
      <c r="D11" s="4" t="s">
        <v>37</v>
      </c>
      <c r="E11" s="4" t="s">
        <v>25</v>
      </c>
      <c r="F11" s="4">
        <v>5</v>
      </c>
      <c r="G11" s="4" t="s">
        <v>26</v>
      </c>
      <c r="H11" s="6">
        <v>46152.5</v>
      </c>
      <c r="I11" s="7">
        <v>180</v>
      </c>
      <c r="J11" s="4">
        <v>5</v>
      </c>
      <c r="K11" s="4" t="s">
        <v>27</v>
      </c>
      <c r="L11" s="7">
        <v>3300</v>
      </c>
      <c r="M11" s="8">
        <v>0</v>
      </c>
      <c r="N11" s="5" t="s">
        <v>28</v>
      </c>
      <c r="O11" s="9">
        <f t="shared" si="0"/>
        <v>16500</v>
      </c>
      <c r="P11" s="9">
        <f t="shared" si="1"/>
        <v>14479.0682289</v>
      </c>
      <c r="Q11" s="4" t="s">
        <v>25</v>
      </c>
      <c r="R11" s="10" t="s">
        <v>38</v>
      </c>
      <c r="S11" s="10" t="s">
        <v>29</v>
      </c>
      <c r="T11" s="5" t="s">
        <v>30</v>
      </c>
    </row>
    <row r="12" spans="1:20" ht="15" customHeight="1" x14ac:dyDescent="0.3">
      <c r="A12" s="4" t="s">
        <v>57</v>
      </c>
      <c r="B12" s="5" t="s">
        <v>22</v>
      </c>
      <c r="C12" s="4" t="s">
        <v>58</v>
      </c>
      <c r="D12" s="4" t="s">
        <v>59</v>
      </c>
      <c r="E12" s="4" t="s">
        <v>25</v>
      </c>
      <c r="F12" s="4">
        <v>5</v>
      </c>
      <c r="G12" s="4" t="s">
        <v>26</v>
      </c>
      <c r="H12" s="6">
        <v>46152.5</v>
      </c>
      <c r="I12" s="7">
        <v>190</v>
      </c>
      <c r="J12" s="4">
        <v>5</v>
      </c>
      <c r="K12" s="4" t="s">
        <v>27</v>
      </c>
      <c r="L12" s="7">
        <v>4675</v>
      </c>
      <c r="M12" s="8">
        <v>0</v>
      </c>
      <c r="N12" s="5" t="s">
        <v>28</v>
      </c>
      <c r="O12" s="9">
        <f t="shared" si="0"/>
        <v>23375</v>
      </c>
      <c r="P12" s="9">
        <f t="shared" si="1"/>
        <v>20512.013324275002</v>
      </c>
      <c r="Q12" s="4" t="s">
        <v>25</v>
      </c>
      <c r="R12" s="10" t="s">
        <v>60</v>
      </c>
      <c r="S12" s="10" t="s">
        <v>29</v>
      </c>
      <c r="T12" s="5" t="s">
        <v>30</v>
      </c>
    </row>
  </sheetData>
  <sheetProtection password="DD37" sheet="1" objects="1" scenarios="1"/>
  <dataValidations count="4">
    <dataValidation type="list" allowBlank="1" showErrorMessage="1" sqref="B3:B12" xr:uid="{00000000-0002-0000-0000-000000000000}">
      <formula1>"Y,N"</formula1>
    </dataValidation>
    <dataValidation type="custom" allowBlank="1" showErrorMessage="1" errorTitle="Hatalı Giriş" error="En fazla 2 ondalık basamak girilebilir." sqref="L3:L12" xr:uid="{00000000-0002-0000-0000-000001000000}">
      <formula1>INT(L3*POWER(10,2))=L3*POWER(10,2)</formula1>
    </dataValidation>
    <dataValidation type="list" allowBlank="1" showErrorMessage="1" sqref="N3:N12" xr:uid="{00000000-0002-0000-0000-000002000000}">
      <formula1>"USD-0.8775192866,EUR-1"</formula1>
    </dataValidation>
    <dataValidation type="list" allowBlank="1" showErrorMessage="1" sqref="T3:T12" xr:uid="{00000000-0002-0000-0000-000003000000}">
      <formula1>"Domestic,Foreign"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cols>
    <col min="1" max="1" width="9.109375" customWidth="1"/>
    <col min="2" max="2" width="16.33203125" customWidth="1"/>
  </cols>
  <sheetData>
    <row r="1" spans="1:2" ht="15" customHeight="1" x14ac:dyDescent="0.35">
      <c r="A1" s="11" t="s">
        <v>61</v>
      </c>
      <c r="B1" s="12">
        <v>1</v>
      </c>
    </row>
    <row r="2" spans="1:2" ht="15" customHeight="1" x14ac:dyDescent="0.35">
      <c r="A2" s="11" t="s">
        <v>62</v>
      </c>
      <c r="B2" s="12">
        <v>0.8775192866</v>
      </c>
    </row>
    <row r="3" spans="1:2" ht="15" customHeight="1" x14ac:dyDescent="0.35">
      <c r="A3" s="11" t="s">
        <v>63</v>
      </c>
      <c r="B3" s="12">
        <v>1.1395760929000001</v>
      </c>
    </row>
    <row r="4" spans="1:2" ht="15" customHeight="1" x14ac:dyDescent="0.35">
      <c r="A4" s="11" t="s">
        <v>64</v>
      </c>
      <c r="B4" s="12">
        <v>1</v>
      </c>
    </row>
  </sheetData>
  <sheetProtection password="DD37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Sheet0</vt:lpstr>
      <vt:lpstr>currencySheet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ümran kaya</cp:lastModifiedBy>
  <dcterms:created xsi:type="dcterms:W3CDTF">2026-07-08T06:58:38Z</dcterms:created>
  <dcterms:modified xsi:type="dcterms:W3CDTF">2026-07-10T07:07:56Z</dcterms:modified>
</cp:coreProperties>
</file>